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egal" state="visible" r:id="rId5"/>
    <sheet sheetId="3" name="PPA" state="visible" r:id="rId6"/>
    <sheet sheetId="4" name="Cost Seg" state="visible" r:id="rId7"/>
    <sheet sheetId="5" name="Domestic Content" state="visible" r:id="rId8"/>
    <sheet sheetId="6" name="Payroll" state="visible" r:id="rId9"/>
    <sheet sheetId="7" name="Equipment" state="visible" r:id="rId10"/>
    <sheet sheetId="8" name="Controls" state="visible" r:id="rId11"/>
    <sheet sheetId="9" name="Documents" state="visible" r:id="rId12"/>
  </sheets>
  <calcPr calcId="171027"/>
</workbook>
</file>

<file path=xl/sharedStrings.xml><?xml version="1.0" encoding="utf-8"?>
<sst xmlns="http://schemas.openxmlformats.org/spreadsheetml/2006/main" count="68" uniqueCount="53">
  <si>
    <t>Tax Credit Transfer Review</t>
  </si>
  <si>
    <t>Value</t>
  </si>
  <si>
    <t>Site Name</t>
  </si>
  <si>
    <t>Solar Site Alpha</t>
  </si>
  <si>
    <t>Site Address</t>
  </si>
  <si>
    <t>1120 County Road 18, Mesa County, CO</t>
  </si>
  <si>
    <t>Credit Value</t>
  </si>
  <si>
    <t>Placed In Service Date</t>
  </si>
  <si>
    <t>2025-12-15</t>
  </si>
  <si>
    <t>Legal Diligence Fields</t>
  </si>
  <si>
    <t>Project Name</t>
  </si>
  <si>
    <t>Legal Address</t>
  </si>
  <si>
    <t>Power Purchase Agreement</t>
  </si>
  <si>
    <t>Facility Name</t>
  </si>
  <si>
    <t>Facility Address</t>
  </si>
  <si>
    <t>Cost Segregation Summary</t>
  </si>
  <si>
    <t>Total Section 48 Property</t>
  </si>
  <si>
    <t>Eligible Basis</t>
  </si>
  <si>
    <t>Calculated Credit</t>
  </si>
  <si>
    <t>Key</t>
  </si>
  <si>
    <t>Description</t>
  </si>
  <si>
    <t>Affidavit</t>
  </si>
  <si>
    <t>Domestic content support</t>
  </si>
  <si>
    <t>Signed domestic content affidavit received</t>
  </si>
  <si>
    <t>Steel Origin</t>
  </si>
  <si>
    <t>Iron and steel status</t>
  </si>
  <si>
    <t>US-sourced steel documented</t>
  </si>
  <si>
    <t>Area</t>
  </si>
  <si>
    <t>Period</t>
  </si>
  <si>
    <t>Reviewer</t>
  </si>
  <si>
    <t>Status</t>
  </si>
  <si>
    <t>Prevailing Wage</t>
  </si>
  <si>
    <t>2025</t>
  </si>
  <si>
    <t>CPA Wage Desk</t>
  </si>
  <si>
    <t>Certified payroll package complete</t>
  </si>
  <si>
    <t>Category</t>
  </si>
  <si>
    <t>Vendor</t>
  </si>
  <si>
    <t>Origin</t>
  </si>
  <si>
    <t>Notes</t>
  </si>
  <si>
    <t>Count</t>
  </si>
  <si>
    <t>US-origin equipment</t>
  </si>
  <si>
    <t>Total equipment</t>
  </si>
  <si>
    <t>Field</t>
  </si>
  <si>
    <t>Formula Health</t>
  </si>
  <si>
    <t>Document</t>
  </si>
  <si>
    <t>Owner</t>
  </si>
  <si>
    <t>IRS transfer form</t>
  </si>
  <si>
    <t>Present</t>
  </si>
  <si>
    <t>Power purchase agreement</t>
  </si>
  <si>
    <t>Land lease</t>
  </si>
  <si>
    <t>Cost segregation report</t>
  </si>
  <si>
    <t>Domestic content package</t>
  </si>
  <si>
    <t>Payroll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</si>
</sst>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customWidth="1"/>
    <col min="2" max="2" width="3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s="1">
        <v>250000</v>
      </c>
    </row>
    <row r="5" spans="1:2" x14ac:dyDescent="0.25">
      <c r="A5" t="s">
        <v>7</v>
      </c>
      <c r="B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2" customWidth="1"/>
    <col min="2" max="2" width="36" customWidth="1"/>
  </cols>
  <sheetData>
    <row r="1" spans="1:2" x14ac:dyDescent="0.25">
      <c r="A1" t="s">
        <v>9</v>
      </c>
      <c r="B1" t="s">
        <v>1</v>
      </c>
    </row>
    <row r="2" spans="1:2" x14ac:dyDescent="0.25">
      <c r="A2" t="s">
        <v>10</v>
      </c>
      <c r="B2" t="s">
        <v>3</v>
      </c>
    </row>
    <row r="3" spans="1:2" x14ac:dyDescent="0.25">
      <c r="A3" t="s">
        <v>11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2" customWidth="1"/>
    <col min="2" max="2" width="36" customWidth="1"/>
  </cols>
  <sheetData>
    <row r="1" spans="1:2" x14ac:dyDescent="0.25">
      <c r="A1" t="s">
        <v>12</v>
      </c>
      <c r="B1" t="s">
        <v>1</v>
      </c>
    </row>
    <row r="2" spans="1:2" x14ac:dyDescent="0.25">
      <c r="A2" t="s">
        <v>13</v>
      </c>
      <c r="B2" t="s">
        <v>3</v>
      </c>
    </row>
    <row r="3" spans="1:2" x14ac:dyDescent="0.25">
      <c r="A3" t="s">
        <v>14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2" customWidth="1"/>
    <col min="2" max="2" width="36" customWidth="1"/>
  </cols>
  <sheetData>
    <row r="1" spans="1:2" x14ac:dyDescent="0.25">
      <c r="A1" t="s">
        <v>15</v>
      </c>
      <c r="B1" t="s">
        <v>1</v>
      </c>
    </row>
    <row r="6" spans="1:2" x14ac:dyDescent="0.25">
      <c r="A6" t="s">
        <v>16</v>
      </c>
      <c r="B6">
        <v>337500</v>
      </c>
    </row>
    <row r="8" spans="1:2" x14ac:dyDescent="0.25">
      <c r="A8" t="s">
        <v>17</v>
      </c>
      <c r="B8">
        <v>833333.33</v>
      </c>
    </row>
    <row r="9" spans="1:2" x14ac:dyDescent="0.25">
      <c r="A9" t="s">
        <v>18</v>
      </c>
      <c r="B9">
        <f>ROUND(B8*0.3,0)</f>
        <v>250000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2" customWidth="1"/>
    <col min="2" max="2" width="36" customWidth="1"/>
    <col min="3" max="3" width="42" customWidth="1"/>
  </cols>
  <sheetData>
    <row r="1" spans="1:3" x14ac:dyDescent="0.25">
      <c r="A1" t="s">
        <v>19</v>
      </c>
      <c r="B1" t="s">
        <v>20</v>
      </c>
      <c r="C1" t="s">
        <v>1</v>
      </c>
    </row>
    <row r="5" spans="1:3" x14ac:dyDescent="0.25">
      <c r="A5" t="s">
        <v>21</v>
      </c>
      <c r="B5" t="s">
        <v>22</v>
      </c>
      <c r="C5" t="s">
        <v>23</v>
      </c>
    </row>
    <row r="8" spans="1:3" x14ac:dyDescent="0.25">
      <c r="A8" t="s">
        <v>24</v>
      </c>
      <c r="B8" t="s">
        <v>25</v>
      </c>
      <c r="C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4" customWidth="1"/>
    <col min="2" max="2" width="18" customWidth="1"/>
    <col min="3" max="3" width="24" customWidth="1"/>
    <col min="4" max="4" width="38" customWidth="1"/>
  </cols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12" spans="1:4" x14ac:dyDescent="0.25">
      <c r="A12" t="s">
        <v>31</v>
      </c>
      <c r="B12" t="s">
        <v>32</v>
      </c>
      <c r="C12" t="s">
        <v>33</v>
      </c>
      <c r="D1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8" customWidth="1"/>
    <col min="2" max="2" width="24" customWidth="1"/>
    <col min="3" max="3" width="18" customWidth="1"/>
    <col min="4" max="4" width="32" customWidth="1"/>
    <col min="5" max="5" width="12" customWidth="1"/>
  </cols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15" spans="1:5" x14ac:dyDescent="0.25">
      <c r="A15" t="s">
        <v>40</v>
      </c>
      <c r="E15">
        <v>18</v>
      </c>
    </row>
    <row r="16" spans="1:5" x14ac:dyDescent="0.25">
      <c r="A16" t="s">
        <v>41</v>
      </c>
      <c r="E16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2" customWidth="1"/>
    <col min="2" max="2" width="36" customWidth="1"/>
  </cols>
  <sheetData>
    <row r="1" spans="1:2" x14ac:dyDescent="0.25">
      <c r="A1" t="s">
        <v>42</v>
      </c>
      <c r="B1" t="s">
        <v>1</v>
      </c>
    </row>
    <row r="2" spans="1:2" x14ac:dyDescent="0.25">
      <c r="A2" t="s">
        <v>43</v>
      </c>
      <c r="B2" t="str">
        <f>IF(Summary!B4=250000,"OK","#VALUE!")</f>
        <v>OK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6" customWidth="1"/>
    <col min="2" max="2" width="22" customWidth="1"/>
    <col min="3" max="3" width="18" customWidth="1"/>
  </cols>
  <sheetData>
    <row r="1" spans="1:3" x14ac:dyDescent="0.25">
      <c r="A1" t="s">
        <v>44</v>
      </c>
      <c r="B1" t="s">
        <v>45</v>
      </c>
      <c r="C1" t="s">
        <v>30</v>
      </c>
    </row>
    <row r="2" spans="1:3" x14ac:dyDescent="0.25">
      <c r="A2" t="s">
        <v>46</v>
      </c>
      <c r="C2" t="s">
        <v>47</v>
      </c>
    </row>
    <row r="3" spans="1:3" x14ac:dyDescent="0.25">
      <c r="A3" t="s">
        <v>48</v>
      </c>
      <c r="C3" t="s">
        <v>47</v>
      </c>
    </row>
    <row r="4" spans="1:3" x14ac:dyDescent="0.25">
      <c r="A4" t="s">
        <v>49</v>
      </c>
      <c r="C4" t="s">
        <v>47</v>
      </c>
    </row>
    <row r="5" spans="1:3" x14ac:dyDescent="0.25">
      <c r="A5" t="s">
        <v>50</v>
      </c>
      <c r="C5" t="s">
        <v>47</v>
      </c>
    </row>
    <row r="6" spans="1:3" x14ac:dyDescent="0.25">
      <c r="A6" t="s">
        <v>51</v>
      </c>
      <c r="C6" t="s">
        <v>47</v>
      </c>
    </row>
    <row r="7" spans="1:3" x14ac:dyDescent="0.25">
      <c r="A7" t="s">
        <v>52</v>
      </c>
      <c r="C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Legal</vt:lpstr>
      <vt:lpstr>PPA</vt:lpstr>
      <vt:lpstr>Cost Seg</vt:lpstr>
      <vt:lpstr>Domestic Content</vt:lpstr>
      <vt:lpstr>Payroll</vt:lpstr>
      <vt:lpstr>Equipment</vt:lpstr>
      <vt:lpstr>Controls</vt:lpstr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Devlish</dc:creator>
  <dc:title/>
  <dc:subject/>
  <dc:description/>
  <cp:keywords/>
  <cp:category/>
  <cp:lastModifiedBy>Unknown</cp:lastModifiedBy>
  <dcterms:created xsi:type="dcterms:W3CDTF">2026-06-16T21:04:00Z</dcterms:created>
  <dcterms:modified xsi:type="dcterms:W3CDTF">2026-06-17T18:26:19Z</dcterms:modified>
</cp:coreProperties>
</file>